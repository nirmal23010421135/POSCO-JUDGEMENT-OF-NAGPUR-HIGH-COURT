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 Me" sheetId="1" state="visible" r:id="rId3"/>
    <sheet name="Team" sheetId="2" state="visible" r:id="rId4"/>
    <sheet name="Data" sheetId="3" state="visible" r:id="rId5"/>
    <sheet name="Chart counts" sheetId="4" state="visible" r:id="rId6"/>
    <sheet name="Vocabula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<sst xmlns="http://schemas.openxmlformats.org/spreadsheetml/2006/main" count="236" uniqueCount="142">
  <si>
    <t xml:space="preserve">Judgment Content Analysis · Dataset template</t>
  </si>
  <si>
    <t xml:space="preserve">How to use this file</t>
  </si>
  <si>
    <t xml:space="preserve">1. Fill the Team sheet.</t>
  </si>
  <si>
    <t xml:space="preserve">2. In the Data sheet, enter one row per judgment starting at row 6. Row 5 is a made-up example showing the format; leave it as it is.</t>
  </si>
  <si>
    <t xml:space="preserve">3. Pale yellow cells are yours to fill. Dropdown columns accept only the listed values (see the Vocabularies sheet). Do not add, delete or reorder columns.</t>
  </si>
  <si>
    <t xml:space="preserve">4. When done, rename this file data.xlsx. Also save the Data sheet as data.csv (File &gt; Save As &gt; CSV). Upload both to your GitHub repository.</t>
  </si>
  <si>
    <t xml:space="preserve">5. Read the Option 2 Guide for the column meanings, the charts, GitHub steps and the README.</t>
  </si>
  <si>
    <t xml:space="preserve">Team information</t>
  </si>
  <si>
    <t xml:space="preserve">Topic</t>
  </si>
  <si>
    <t xml:space="preserve">POCSO Act (Protection of Children from Sexual Offences Act, 2012) judgments</t>
  </si>
  <si>
    <t xml:space="preserve">Court</t>
  </si>
  <si>
    <t xml:space="preserve">High Court of Judicature at Bombay, Nagpur Bench</t>
  </si>
  <si>
    <t xml:space="preserve">Team name</t>
  </si>
  <si>
    <t xml:space="preserve">GitHub repository link</t>
  </si>
  <si>
    <t xml:space="preserve">Member 1 · name and section</t>
  </si>
  <si>
    <t xml:space="preserve">Member 2 · name and section</t>
  </si>
  <si>
    <t xml:space="preserve">Member 3 · name and section (if any)</t>
  </si>
  <si>
    <t xml:space="preserve">Member 4 · name and section (if any)</t>
  </si>
  <si>
    <t xml:space="preserve">Date completed (DD-MM-YYYY)</t>
  </si>
  <si>
    <t xml:space="preserve">Data · one row per judgment</t>
  </si>
  <si>
    <t xml:space="preserve">Row 5 is a made-up example. Your judgments start at row 6. Enter 10 to 20 judgments decided between 01-09-2021 and 31-08-2026. See the Option 2 Guide, section 4.</t>
  </si>
  <si>
    <t xml:space="preserve">#</t>
  </si>
  <si>
    <t xml:space="preserve">Case name</t>
  </si>
  <si>
    <t xml:space="preserve">Citation or case number</t>
  </si>
  <si>
    <t xml:space="preserve">Date of decision (DD-MM-YYYY)</t>
  </si>
  <si>
    <t xml:space="preserve">Year</t>
  </si>
  <si>
    <t xml:space="preserve">Bench strength</t>
  </si>
  <si>
    <t xml:space="preserve">Type of case</t>
  </si>
  <si>
    <t xml:space="preserve">Who brought the case</t>
  </si>
  <si>
    <t xml:space="preserve">Outcome</t>
  </si>
  <si>
    <t xml:space="preserve">Who won</t>
  </si>
  <si>
    <t xml:space="preserve">Main provision</t>
  </si>
  <si>
    <t xml:space="preserve">Issue in one line</t>
  </si>
  <si>
    <t xml:space="preserve">Holding in one line</t>
  </si>
  <si>
    <t xml:space="preserve">Precedent chiefly relied on</t>
  </si>
  <si>
    <t xml:space="preserve">Source link (official copy)</t>
  </si>
  <si>
    <t xml:space="preserve">Coded by</t>
  </si>
  <si>
    <t xml:space="preserve">EX</t>
  </si>
  <si>
    <t xml:space="preserve">Example Petitioner v. State of Maharashtra (made-up)</t>
  </si>
  <si>
    <t xml:space="preserve">2024 INSC 000 (made-up)</t>
  </si>
  <si>
    <t xml:space="preserve">15-03-2024</t>
  </si>
  <si>
    <t xml:space="preserve">Criminal appeal</t>
  </si>
  <si>
    <t xml:space="preserve">Individual</t>
  </si>
  <si>
    <t xml:space="preserve">Allowed</t>
  </si>
  <si>
    <t xml:space="preserve">s 438 CrPC</t>
  </si>
  <si>
    <t xml:space="preserve">Whether anticipatory bail can be limited to a fixed period.</t>
  </si>
  <si>
    <t xml:space="preserve">Bail granted; protection ordinarily lasts till the end of trial.</t>
  </si>
  <si>
    <t xml:space="preserve">Sushila Aggarwal v. State (NCT of Delhi)</t>
  </si>
  <si>
    <t xml:space="preserve">https://www.sci.gov.in/judgements/ (made-up)</t>
  </si>
  <si>
    <t xml:space="preserve">A. Deshmukh</t>
  </si>
  <si>
    <t xml:space="preserve">Vinod s/o Ganpatrao Nichat v. State of Maharashtra</t>
  </si>
  <si>
    <t xml:space="preserve">2024:BHC-NAG:7582 (Crl. Appeal 333/2023)</t>
  </si>
  <si>
    <t xml:space="preserve">08-07-2024</t>
  </si>
  <si>
    <t xml:space="preserve">Dismissed</t>
  </si>
  <si>
    <t xml:space="preserve">State or public body</t>
  </si>
  <si>
    <t xml:space="preserve">s 9(m) and s 8 POCSO</t>
  </si>
  <si>
    <t xml:space="preserve">Whether a 9-year-old's account of being touched by a neighbour, backed only by her mother, was enough despite her epilepsy and a claimed enmity.</t>
  </si>
  <si>
    <t xml:space="preserve">Yes. The child and mother were consistent, the report was prompt, and the enmity defence was unproved; conviction and sentence upheld.</t>
  </si>
  <si>
    <t xml:space="preserve">None identified</t>
  </si>
  <si>
    <t xml:space="preserve">https://verdictum.in/pdf_upload/2024-bhc-nag-7582-1639295.pdf</t>
  </si>
  <si>
    <t xml:space="preserve">TO FILL: team member who verifies</t>
  </si>
  <si>
    <t xml:space="preserve">Vijay s/o Manoharrao Jawanjal v. State of Maharashtra</t>
  </si>
  <si>
    <t xml:space="preserve">2024:BHC-NAG:10709 (Crl. Appeal 185/2021)</t>
  </si>
  <si>
    <t xml:space="preserve">14-08-2024</t>
  </si>
  <si>
    <t xml:space="preserve">s 29 POCSO; s 376AB IPC r/w s 6 POCSO</t>
  </si>
  <si>
    <t xml:space="preserve">Whether the s 29 presumption applies once an accused is charged, or only after the prosecution proves the foundational facts.</t>
  </si>
  <si>
    <t xml:space="preserve">Only after foundational facts are proved beyond reasonable doubt; the child's evidence was tutored and unsupported by medical proof, so 20-year sentence set aside.</t>
  </si>
  <si>
    <t xml:space="preserve">Navin Dhaniram Baraiye v. State of Maharashtra, 2018 ALLMR (Cri) 4919</t>
  </si>
  <si>
    <t xml:space="preserve">https://www.verdictum.in/pdf_upload/vijay-so-manoharrao-jawanjal-verdictum-1656573.pdf</t>
  </si>
  <si>
    <t xml:space="preserve">Rahul Gautam Lahase v. State of Maharashtra</t>
  </si>
  <si>
    <t xml:space="preserve">2024:BHC-NAG:10144 (Crl. Appeal 84/2022)</t>
  </si>
  <si>
    <t xml:space="preserve">28-08-2024</t>
  </si>
  <si>
    <t xml:space="preserve">s 2(d), s 4 and s 8 POCSO; s 67 IT Act</t>
  </si>
  <si>
    <t xml:space="preserve">Whether a 16-year-old's claim of a hotel-room assault and later online circulation of photos was proved without forensic reports and after months of delay.</t>
  </si>
  <si>
    <t xml:space="preserve">No. Age was proved, but her story was improbable, the delay unexplained and the lab report on the photos never produced; all convictions set aside.</t>
  </si>
  <si>
    <t xml:space="preserve">https://verdictum.in/pdf_upload/2024-bhc-nag-10144-1652590.pdf</t>
  </si>
  <si>
    <t xml:space="preserve">Mahadeo @ Mahadya Uttam Gonde v. State of Maharashtra</t>
  </si>
  <si>
    <t xml:space="preserve">2024:BHC-NAG:10811 (Crl. Appeal 258/2022)</t>
  </si>
  <si>
    <t xml:space="preserve">04-09-2024</t>
  </si>
  <si>
    <t xml:space="preserve">Partly allowed</t>
  </si>
  <si>
    <t xml:space="preserve">Mixed or unclear</t>
  </si>
  <si>
    <t xml:space="preserve">s 3(c), s 9 and s 10 POCSO; s 377 r/w s 511 IPC</t>
  </si>
  <si>
    <t xml:space="preserve">Whether pressing a boy's anus with the penis, without proved penetration, is penetrative sexual assault or only aggravated sexual assault.</t>
  </si>
  <si>
    <t xml:space="preserve">Touch is not 'manipulation' under s 3(c); s 4 conviction quashed, s 10 and attempted s 377 IPC conviction kept with the five-year sentence.</t>
  </si>
  <si>
    <t xml:space="preserve">https://lawtext.in/admin/uploads/pdfs/pdf_78036-%20Lawtext-file.pdf</t>
  </si>
  <si>
    <t xml:space="preserve">Aman s/o Ratnakar Tagade v. State of Maharashtra</t>
  </si>
  <si>
    <t xml:space="preserve">2024:BHC-NAG:12551 (Crl. Appeal 425/2023)</t>
  </si>
  <si>
    <t xml:space="preserve">03-10-2024</t>
  </si>
  <si>
    <t xml:space="preserve">s 15 JJ Act 2015; s 376 IPC r/w s 4 POCSO</t>
  </si>
  <si>
    <t xml:space="preserve">Whether trial of a 17-year-old as an adult was vitiated because the Juvenile Justice Board assessed him without a clinical psychologist's evaluation.</t>
  </si>
  <si>
    <t xml:space="preserve">Objection rejected: the Board's unchallenged s 15 order had become final; conviction kept, sentence cut from 10 to 7 years under s 376(1) IPC.</t>
  </si>
  <si>
    <t xml:space="preserve">Barun Chandra Thakur v. Master Bholu (Supreme Court, 2022)</t>
  </si>
  <si>
    <t xml:space="preserve">https://livelaw.in/pdf_upload/aman-tagade-vs-state-of-maharashtra-572434.pdf</t>
  </si>
  <si>
    <t xml:space="preserve">Ravindra s/o Laxman Narete v. State of Maharashtra</t>
  </si>
  <si>
    <t xml:space="preserve">2025:BHC-NAG:6106 (Crl. Appeal 471/2017)</t>
  </si>
  <si>
    <t xml:space="preserve">30-06-2025</t>
  </si>
  <si>
    <t xml:space="preserve">s 8 POCSO (read with s 7); s 354-A IPC</t>
  </si>
  <si>
    <t xml:space="preserve">Whether a boy catching a 17-year-old girl's hand once and saying 'I love you' shows sexual intent for sexual assault or sexual harassment.</t>
  </si>
  <si>
    <t xml:space="preserve">No. Words of affection alone, said once, do not show sexual intent; conviction under POCSO s 8 and IPC s 354-A set aside.</t>
  </si>
  <si>
    <t xml:space="preserve">Bandu Vitthalrao Borwar v. State of Maharashtra, 2016 SCC OnLine Bom 16128</t>
  </si>
  <si>
    <t xml:space="preserve">https://indiankanoon.org/doc/66764698/</t>
  </si>
  <si>
    <t xml:space="preserve">Sheikh Rafique Sk. Gulab v. State of Maharashtra</t>
  </si>
  <si>
    <t xml:space="preserve">2025:BHC-NAG:13479 (Crl. Appeal 772/2019)</t>
  </si>
  <si>
    <t xml:space="preserve">04-12-2025</t>
  </si>
  <si>
    <t xml:space="preserve">s 7 and s 8 POCSO; s 42 POCSO</t>
  </si>
  <si>
    <t xml:space="preserve">Whether holding a 13-year-old's hand while offering money for sex is sexual assault under POCSO, and whether s 42 requires the higher POCSO sentence.</t>
  </si>
  <si>
    <t xml:space="preserve">Yes. Physical contact with an offer for sex showed sexual intent; conviction upheld, s 8 minimum of three years applied via s 42, no probation.</t>
  </si>
  <si>
    <t xml:space="preserve">Raju Pandurang Mahale v. State of Maharashtra, (2004) 4 SCC 371</t>
  </si>
  <si>
    <t xml:space="preserve">https://www.verdictum.in/pdf_upload/23010000772201971-1758588.pdf</t>
  </si>
  <si>
    <t xml:space="preserve">Akbar Hussain v. State of Maharashtra</t>
  </si>
  <si>
    <t xml:space="preserve">Crl. Appeal 900/2022 (judgment of 12-12-2025)</t>
  </si>
  <si>
    <t xml:space="preserve">12-12-2025</t>
  </si>
  <si>
    <t xml:space="preserve">s 3 r/w s 4 POCSO; s 376 IPC</t>
  </si>
  <si>
    <t xml:space="preserve">Whether a 13-year-old's account of rape could stand when the owner of the house named as the scene denied that any assault happened there.</t>
  </si>
  <si>
    <t xml:space="preserve">No. The victim's version conflicted with that witness, medical findings were inconclusive and investigation lapses weakened the case; acquitted.</t>
  </si>
  <si>
    <t xml:space="preserve">Narender Kumar v. State (NCT of Delhi), (2012) 7 SCC 171</t>
  </si>
  <si>
    <t xml:space="preserve">https://courtkutchehry.com/judgments/akbar-hussain-vs-state-of-maharashtra-and-anr</t>
  </si>
  <si>
    <t xml:space="preserve">Ashish s/o Gangadhar Lonare v. State of Maharashtra</t>
  </si>
  <si>
    <t xml:space="preserve">2026:BHC-NAG:250 (Crl. Appeal 693/2023)</t>
  </si>
  <si>
    <t xml:space="preserve">09-01-2026</t>
  </si>
  <si>
    <t xml:space="preserve">s 2(d), s 4 and s 6 POCSO; s 363 IPC</t>
  </si>
  <si>
    <t xml:space="preserve">Whether a 12-year-old's tutored testimony, a doubtful medical opinion and a DNA report with no chain of custody could sustain conviction.</t>
  </si>
  <si>
    <t xml:space="preserve">No. Age was proved but the girl spoke under her parents' influence and the DNA link evidence was missing, so the report was discarded; acquitted.</t>
  </si>
  <si>
    <t xml:space="preserve">Nivrutti Nagorao Hange v. State of Maharashtra, 2024 ALL MR (Cri.) 3445</t>
  </si>
  <si>
    <t xml:space="preserve">https://www.caseon.in/case/ashish-so-gangadhar-vs-state-of-maharashtra</t>
  </si>
  <si>
    <t xml:space="preserve">Vikram @ Sanny Devisingh Thakur v. State of Maharashtra</t>
  </si>
  <si>
    <t xml:space="preserve">2026:BHC-NAG:5597-DB (Crl. Appeal 240/2024)</t>
  </si>
  <si>
    <t xml:space="preserve">09-04-2026</t>
  </si>
  <si>
    <t xml:space="preserve">s 6 POCSO; s 376(2) IPC</t>
  </si>
  <si>
    <t xml:space="preserve">Whether a 6-year-old's testimony of repeated rape by a factory worker was reliable, given no medical support and a family quarrel over the premises.</t>
  </si>
  <si>
    <t xml:space="preserve">No. The account was improbable (tiny toilet, no medical findings, shifting spot evidence) and the false-implication defence was plausible; acquitted.</t>
  </si>
  <si>
    <t xml:space="preserve">https://www.caseon.in/uploads/cases/pdf/vikram-at-sanny-devisingh-thakur-vs-state-of-maharashtra-and-xyz-victim.pdf</t>
  </si>
  <si>
    <t xml:space="preserve">Counts for your charts (these update automatically from the Data sheet)</t>
  </si>
  <si>
    <t xml:space="preserve">Select a table below, then Insert &gt; Chart in Excel or Google Sheets. Save each chart as PNG.</t>
  </si>
  <si>
    <t xml:space="preserve">Judgments</t>
  </si>
  <si>
    <t xml:space="preserve">Other</t>
  </si>
  <si>
    <t xml:space="preserve">Company</t>
  </si>
  <si>
    <t xml:space="preserve">Association or NGO</t>
  </si>
  <si>
    <t xml:space="preserve">Writ petition</t>
  </si>
  <si>
    <t xml:space="preserve">Civil appeal</t>
  </si>
  <si>
    <t xml:space="preserve">SLP</t>
  </si>
  <si>
    <t xml:space="preserve">Lists used by the dropdowns (do not edit)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</si>
</sst>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31"/>
      <name val="Arial"/>
      <family val="2"/>
      <charset val="1"/>
    </font>
    <font>
      <sz val="9"/>
      <name val="Arial"/>
      <family val="2"/>
      <charset val="1"/>
    </font>
    <font>
      <b val="true"/>
      <sz val="12"/>
      <color rgb="FF1B2431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1B2431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5A6472"/>
      <name val="Arial"/>
      <family val="2"/>
      <charset val="1"/>
    </font>
    <font>
      <b val="true"/>
      <sz val="9"/>
      <color rgb="FFFFFF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2F2F0"/>
      </patternFill>
    </fill>
    <fill>
      <patternFill patternType="solid">
        <fgColor rgb="FF1B2431"/>
        <bgColor rgb="FF333300"/>
      </patternFill>
    </fill>
    <fill>
      <patternFill patternType="solid">
        <fgColor rgb="FFF2F2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F2F2F0"/>
      <rgbColor rgb="FF660066"/>
      <rgbColor rgb="FFFF8080"/>
      <rgbColor rgb="FF0066CC"/>
      <rgbColor rgb="FFD0D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36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/>
    </row>
    <row r="4" customFormat="false" ht="18" hidden="false" customHeight="true" outlineLevel="0" collapsed="false">
      <c r="B4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30" hidden="false" customHeight="true" outlineLevel="0" collapsed="false">
      <c r="B6" s="4" t="s">
        <v>3</v>
      </c>
    </row>
    <row r="7" customFormat="false" ht="30" hidden="false" customHeight="true" outlineLevel="0" collapsed="false">
      <c r="B7" s="4" t="s">
        <v>4</v>
      </c>
    </row>
    <row r="8" customFormat="false" ht="30" hidden="false" customHeight="true" outlineLevel="0" collapsed="false">
      <c r="B8" s="4" t="s">
        <v>5</v>
      </c>
    </row>
    <row r="9" customFormat="false" ht="15.75" hidden="false" customHeight="true" outlineLevel="0" collapsed="false">
      <c r="B9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0"/>
  </cols>
  <sheetData>
    <row r="2" customFormat="false" ht="18" hidden="false" customHeight="true" outlineLevel="0" collapsed="false">
      <c r="B2" s="5" t="s">
        <v>7</v>
      </c>
    </row>
    <row r="4" customFormat="false" ht="15" hidden="false" customHeight="false" outlineLevel="0" collapsed="false">
      <c r="B4" s="6" t="s">
        <v>8</v>
      </c>
      <c r="C4" s="7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</row>
    <row r="6" customFormat="false" ht="15" hidden="false" customHeight="false" outlineLevel="0" collapsed="false">
      <c r="B6" s="6" t="s">
        <v>12</v>
      </c>
      <c r="C6" s="7"/>
    </row>
    <row r="7" customFormat="false" ht="15" hidden="false" customHeight="false" outlineLevel="0" collapsed="false">
      <c r="B7" s="6" t="s">
        <v>13</v>
      </c>
      <c r="C7" s="7"/>
    </row>
    <row r="8" customFormat="false" ht="15" hidden="false" customHeight="false" outlineLevel="0" collapsed="false">
      <c r="B8" s="6" t="s">
        <v>14</v>
      </c>
      <c r="C8" s="7"/>
    </row>
    <row r="9" customFormat="false" ht="15" hidden="false" customHeight="false" outlineLevel="0" collapsed="false">
      <c r="B9" s="6" t="s">
        <v>15</v>
      </c>
      <c r="C9" s="7"/>
    </row>
    <row r="10" customFormat="false" ht="15" hidden="false" customHeight="false" outlineLevel="0" collapsed="false">
      <c r="B10" s="6" t="s">
        <v>16</v>
      </c>
      <c r="C10" s="7"/>
    </row>
    <row r="11" customFormat="false" ht="15" hidden="false" customHeight="false" outlineLevel="0" collapsed="false">
      <c r="B11" s="6" t="s">
        <v>17</v>
      </c>
      <c r="C11" s="7"/>
    </row>
    <row r="12" customFormat="false" ht="15" hidden="false" customHeight="false" outlineLevel="0" collapsed="false">
      <c r="B12" s="6" t="s">
        <v>18</v>
      </c>
      <c r="C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7" activeCellId="0" sqref="D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40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16"/>
  </cols>
  <sheetData>
    <row r="1" customFormat="false" ht="18" hidden="false" customHeight="true" outlineLevel="0" collapsed="false">
      <c r="A1" s="5" t="s">
        <v>19</v>
      </c>
    </row>
    <row r="2" customFormat="false" ht="15" hidden="false" customHeight="false" outlineLevel="0" collapsed="false">
      <c r="A2" s="8" t="s">
        <v>20</v>
      </c>
    </row>
    <row r="4" customFormat="false" ht="36" hidden="false" customHeight="true" outlineLevel="0" collapsed="false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</row>
    <row r="5" customFormat="false" ht="45" hidden="false" customHeight="true" outlineLevel="0" collapsed="false">
      <c r="A5" s="10" t="s">
        <v>37</v>
      </c>
      <c r="B5" s="10" t="s">
        <v>38</v>
      </c>
      <c r="C5" s="10" t="s">
        <v>39</v>
      </c>
      <c r="D5" s="10" t="s">
        <v>40</v>
      </c>
      <c r="E5" s="10" t="n">
        <v>2024</v>
      </c>
      <c r="F5" s="10" t="n">
        <v>2</v>
      </c>
      <c r="G5" s="10" t="s">
        <v>41</v>
      </c>
      <c r="H5" s="10" t="s">
        <v>42</v>
      </c>
      <c r="I5" s="10" t="s">
        <v>43</v>
      </c>
      <c r="J5" s="10" t="s">
        <v>42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</row>
    <row r="6" customFormat="false" ht="39.75" hidden="false" customHeight="true" outlineLevel="0" collapsed="false">
      <c r="A6" s="11" t="n">
        <v>1</v>
      </c>
      <c r="B6" s="12" t="s">
        <v>50</v>
      </c>
      <c r="C6" s="12" t="s">
        <v>51</v>
      </c>
      <c r="D6" s="12" t="s">
        <v>52</v>
      </c>
      <c r="E6" s="12" t="n">
        <v>2024</v>
      </c>
      <c r="F6" s="12" t="n">
        <v>1</v>
      </c>
      <c r="G6" s="12" t="s">
        <v>41</v>
      </c>
      <c r="H6" s="12" t="s">
        <v>42</v>
      </c>
      <c r="I6" s="12" t="s">
        <v>53</v>
      </c>
      <c r="J6" s="12" t="s">
        <v>54</v>
      </c>
      <c r="K6" s="12" t="s">
        <v>55</v>
      </c>
      <c r="L6" s="12" t="s">
        <v>56</v>
      </c>
      <c r="M6" s="12" t="s">
        <v>57</v>
      </c>
      <c r="N6" s="12" t="s">
        <v>58</v>
      </c>
      <c r="O6" s="12" t="s">
        <v>59</v>
      </c>
      <c r="P6" s="12" t="s">
        <v>60</v>
      </c>
    </row>
    <row r="7" customFormat="false" ht="39.75" hidden="false" customHeight="true" outlineLevel="0" collapsed="false">
      <c r="A7" s="11" t="n">
        <v>2</v>
      </c>
      <c r="B7" s="12" t="s">
        <v>61</v>
      </c>
      <c r="C7" s="12" t="s">
        <v>62</v>
      </c>
      <c r="D7" s="12" t="s">
        <v>63</v>
      </c>
      <c r="E7" s="12" t="n">
        <v>2024</v>
      </c>
      <c r="F7" s="12" t="n">
        <v>1</v>
      </c>
      <c r="G7" s="12" t="s">
        <v>41</v>
      </c>
      <c r="H7" s="12" t="s">
        <v>42</v>
      </c>
      <c r="I7" s="12" t="s">
        <v>43</v>
      </c>
      <c r="J7" s="12" t="s">
        <v>42</v>
      </c>
      <c r="K7" s="12" t="s">
        <v>64</v>
      </c>
      <c r="L7" s="12" t="s">
        <v>65</v>
      </c>
      <c r="M7" s="12" t="s">
        <v>66</v>
      </c>
      <c r="N7" s="12" t="s">
        <v>67</v>
      </c>
      <c r="O7" s="12" t="s">
        <v>68</v>
      </c>
      <c r="P7" s="12" t="s">
        <v>60</v>
      </c>
    </row>
    <row r="8" customFormat="false" ht="39.75" hidden="false" customHeight="true" outlineLevel="0" collapsed="false">
      <c r="A8" s="11" t="n">
        <v>3</v>
      </c>
      <c r="B8" s="12" t="s">
        <v>69</v>
      </c>
      <c r="C8" s="12" t="s">
        <v>70</v>
      </c>
      <c r="D8" s="12" t="s">
        <v>71</v>
      </c>
      <c r="E8" s="12" t="n">
        <v>2024</v>
      </c>
      <c r="F8" s="12" t="n">
        <v>1</v>
      </c>
      <c r="G8" s="12" t="s">
        <v>41</v>
      </c>
      <c r="H8" s="12" t="s">
        <v>42</v>
      </c>
      <c r="I8" s="12" t="s">
        <v>43</v>
      </c>
      <c r="J8" s="12" t="s">
        <v>42</v>
      </c>
      <c r="K8" s="12" t="s">
        <v>72</v>
      </c>
      <c r="L8" s="12" t="s">
        <v>73</v>
      </c>
      <c r="M8" s="12" t="s">
        <v>74</v>
      </c>
      <c r="N8" s="12" t="s">
        <v>58</v>
      </c>
      <c r="O8" s="12" t="s">
        <v>75</v>
      </c>
      <c r="P8" s="12" t="s">
        <v>60</v>
      </c>
    </row>
    <row r="9" customFormat="false" ht="39.75" hidden="false" customHeight="true" outlineLevel="0" collapsed="false">
      <c r="A9" s="11" t="n">
        <v>4</v>
      </c>
      <c r="B9" s="12" t="s">
        <v>76</v>
      </c>
      <c r="C9" s="12" t="s">
        <v>77</v>
      </c>
      <c r="D9" s="12" t="s">
        <v>78</v>
      </c>
      <c r="E9" s="12" t="n">
        <v>2024</v>
      </c>
      <c r="F9" s="12" t="n">
        <v>1</v>
      </c>
      <c r="G9" s="12" t="s">
        <v>41</v>
      </c>
      <c r="H9" s="12" t="s">
        <v>42</v>
      </c>
      <c r="I9" s="12" t="s">
        <v>79</v>
      </c>
      <c r="J9" s="12" t="s">
        <v>80</v>
      </c>
      <c r="K9" s="12" t="s">
        <v>81</v>
      </c>
      <c r="L9" s="12" t="s">
        <v>82</v>
      </c>
      <c r="M9" s="12" t="s">
        <v>83</v>
      </c>
      <c r="N9" s="12" t="s">
        <v>58</v>
      </c>
      <c r="O9" s="12" t="s">
        <v>84</v>
      </c>
      <c r="P9" s="12" t="s">
        <v>60</v>
      </c>
    </row>
    <row r="10" customFormat="false" ht="39.75" hidden="false" customHeight="true" outlineLevel="0" collapsed="false">
      <c r="A10" s="11" t="n">
        <v>5</v>
      </c>
      <c r="B10" s="12" t="s">
        <v>85</v>
      </c>
      <c r="C10" s="12" t="s">
        <v>86</v>
      </c>
      <c r="D10" s="12" t="s">
        <v>87</v>
      </c>
      <c r="E10" s="12" t="n">
        <v>2024</v>
      </c>
      <c r="F10" s="12" t="n">
        <v>1</v>
      </c>
      <c r="G10" s="12" t="s">
        <v>41</v>
      </c>
      <c r="H10" s="12" t="s">
        <v>42</v>
      </c>
      <c r="I10" s="12" t="s">
        <v>53</v>
      </c>
      <c r="J10" s="12" t="s">
        <v>54</v>
      </c>
      <c r="K10" s="12" t="s">
        <v>88</v>
      </c>
      <c r="L10" s="12" t="s">
        <v>89</v>
      </c>
      <c r="M10" s="12" t="s">
        <v>90</v>
      </c>
      <c r="N10" s="12" t="s">
        <v>91</v>
      </c>
      <c r="O10" s="12" t="s">
        <v>92</v>
      </c>
      <c r="P10" s="12" t="s">
        <v>60</v>
      </c>
    </row>
    <row r="11" customFormat="false" ht="39.75" hidden="false" customHeight="true" outlineLevel="0" collapsed="false">
      <c r="A11" s="11" t="n">
        <v>6</v>
      </c>
      <c r="B11" s="12" t="s">
        <v>93</v>
      </c>
      <c r="C11" s="12" t="s">
        <v>94</v>
      </c>
      <c r="D11" s="12" t="s">
        <v>95</v>
      </c>
      <c r="E11" s="12" t="n">
        <v>2025</v>
      </c>
      <c r="F11" s="12" t="n">
        <v>1</v>
      </c>
      <c r="G11" s="12" t="s">
        <v>41</v>
      </c>
      <c r="H11" s="12" t="s">
        <v>42</v>
      </c>
      <c r="I11" s="12" t="s">
        <v>43</v>
      </c>
      <c r="J11" s="12" t="s">
        <v>42</v>
      </c>
      <c r="K11" s="12" t="s">
        <v>96</v>
      </c>
      <c r="L11" s="12" t="s">
        <v>97</v>
      </c>
      <c r="M11" s="12" t="s">
        <v>98</v>
      </c>
      <c r="N11" s="12" t="s">
        <v>99</v>
      </c>
      <c r="O11" s="12" t="s">
        <v>100</v>
      </c>
      <c r="P11" s="12" t="s">
        <v>60</v>
      </c>
    </row>
    <row r="12" customFormat="false" ht="39.75" hidden="false" customHeight="true" outlineLevel="0" collapsed="false">
      <c r="A12" s="11" t="n">
        <v>7</v>
      </c>
      <c r="B12" s="12" t="s">
        <v>101</v>
      </c>
      <c r="C12" s="12" t="s">
        <v>102</v>
      </c>
      <c r="D12" s="12" t="s">
        <v>103</v>
      </c>
      <c r="E12" s="12" t="n">
        <v>2025</v>
      </c>
      <c r="F12" s="12" t="n">
        <v>1</v>
      </c>
      <c r="G12" s="12" t="s">
        <v>41</v>
      </c>
      <c r="H12" s="12" t="s">
        <v>42</v>
      </c>
      <c r="I12" s="12" t="s">
        <v>53</v>
      </c>
      <c r="J12" s="12" t="s">
        <v>54</v>
      </c>
      <c r="K12" s="12" t="s">
        <v>104</v>
      </c>
      <c r="L12" s="12" t="s">
        <v>105</v>
      </c>
      <c r="M12" s="12" t="s">
        <v>106</v>
      </c>
      <c r="N12" s="12" t="s">
        <v>107</v>
      </c>
      <c r="O12" s="12" t="s">
        <v>108</v>
      </c>
      <c r="P12" s="12" t="s">
        <v>60</v>
      </c>
    </row>
    <row r="13" customFormat="false" ht="39.75" hidden="false" customHeight="true" outlineLevel="0" collapsed="false">
      <c r="A13" s="11" t="n">
        <v>8</v>
      </c>
      <c r="B13" s="12" t="s">
        <v>109</v>
      </c>
      <c r="C13" s="12" t="s">
        <v>110</v>
      </c>
      <c r="D13" s="12" t="s">
        <v>111</v>
      </c>
      <c r="E13" s="12" t="n">
        <v>2025</v>
      </c>
      <c r="F13" s="12" t="n">
        <v>1</v>
      </c>
      <c r="G13" s="12" t="s">
        <v>41</v>
      </c>
      <c r="H13" s="12" t="s">
        <v>42</v>
      </c>
      <c r="I13" s="12" t="s">
        <v>43</v>
      </c>
      <c r="J13" s="12" t="s">
        <v>42</v>
      </c>
      <c r="K13" s="12" t="s">
        <v>112</v>
      </c>
      <c r="L13" s="12" t="s">
        <v>113</v>
      </c>
      <c r="M13" s="12" t="s">
        <v>114</v>
      </c>
      <c r="N13" s="12" t="s">
        <v>115</v>
      </c>
      <c r="O13" s="12" t="s">
        <v>116</v>
      </c>
      <c r="P13" s="12" t="s">
        <v>60</v>
      </c>
    </row>
    <row r="14" customFormat="false" ht="39.75" hidden="false" customHeight="true" outlineLevel="0" collapsed="false">
      <c r="A14" s="11" t="n">
        <v>9</v>
      </c>
      <c r="B14" s="12" t="s">
        <v>117</v>
      </c>
      <c r="C14" s="12" t="s">
        <v>118</v>
      </c>
      <c r="D14" s="12" t="s">
        <v>119</v>
      </c>
      <c r="E14" s="12" t="n">
        <v>2026</v>
      </c>
      <c r="F14" s="12" t="n">
        <v>1</v>
      </c>
      <c r="G14" s="12" t="s">
        <v>41</v>
      </c>
      <c r="H14" s="12" t="s">
        <v>42</v>
      </c>
      <c r="I14" s="12" t="s">
        <v>43</v>
      </c>
      <c r="J14" s="12" t="s">
        <v>42</v>
      </c>
      <c r="K14" s="12" t="s">
        <v>120</v>
      </c>
      <c r="L14" s="12" t="s">
        <v>121</v>
      </c>
      <c r="M14" s="12" t="s">
        <v>122</v>
      </c>
      <c r="N14" s="12" t="s">
        <v>123</v>
      </c>
      <c r="O14" s="12" t="s">
        <v>124</v>
      </c>
      <c r="P14" s="12" t="s">
        <v>60</v>
      </c>
    </row>
    <row r="15" customFormat="false" ht="39.75" hidden="false" customHeight="true" outlineLevel="0" collapsed="false">
      <c r="A15" s="11" t="n">
        <v>10</v>
      </c>
      <c r="B15" s="12" t="s">
        <v>125</v>
      </c>
      <c r="C15" s="12" t="s">
        <v>126</v>
      </c>
      <c r="D15" s="12" t="s">
        <v>127</v>
      </c>
      <c r="E15" s="12" t="n">
        <v>2026</v>
      </c>
      <c r="F15" s="12" t="n">
        <v>1</v>
      </c>
      <c r="G15" s="12" t="s">
        <v>41</v>
      </c>
      <c r="H15" s="12" t="s">
        <v>42</v>
      </c>
      <c r="I15" s="12" t="s">
        <v>43</v>
      </c>
      <c r="J15" s="12" t="s">
        <v>42</v>
      </c>
      <c r="K15" s="12" t="s">
        <v>128</v>
      </c>
      <c r="L15" s="12" t="s">
        <v>129</v>
      </c>
      <c r="M15" s="12" t="s">
        <v>130</v>
      </c>
      <c r="N15" s="12" t="s">
        <v>58</v>
      </c>
      <c r="O15" s="12" t="s">
        <v>131</v>
      </c>
      <c r="P15" s="12" t="s">
        <v>60</v>
      </c>
    </row>
    <row r="16" customFormat="false" ht="39.75" hidden="false" customHeight="true" outlineLevel="0" collapsed="false">
      <c r="A16" s="11" t="n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39.75" hidden="false" customHeight="true" outlineLevel="0" collapsed="false">
      <c r="A17" s="11" t="n">
        <v>12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39.75" hidden="false" customHeight="true" outlineLevel="0" collapsed="false">
      <c r="A18" s="11" t="n">
        <v>13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39.75" hidden="false" customHeight="true" outlineLevel="0" collapsed="false">
      <c r="A19" s="11" t="n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39.75" hidden="false" customHeight="true" outlineLevel="0" collapsed="false">
      <c r="A20" s="11" t="n">
        <v>15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39.75" hidden="false" customHeight="true" outlineLevel="0" collapsed="false">
      <c r="A21" s="11" t="n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39.75" hidden="false" customHeight="true" outlineLevel="0" collapsed="false">
      <c r="A22" s="11" t="n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39.75" hidden="false" customHeight="true" outlineLevel="0" collapsed="false">
      <c r="A23" s="11" t="n">
        <v>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39.75" hidden="false" customHeight="true" outlineLevel="0" collapsed="false">
      <c r="A24" s="11" t="n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39.75" hidden="false" customHeight="true" outlineLevel="0" collapsed="false">
      <c r="A25" s="11" t="n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5">
    <dataValidation allowBlank="false" error="Enter a year between 2021 and 2026 as a number." errorStyle="stop" errorTitle="Year" operator="between" showDropDown="false" showErrorMessage="true" showInputMessage="false" sqref="E6:E25" type="whole">
      <formula1>2021</formula1>
      <formula2>2026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G6:G25" type="list">
      <formula1>Vocabularies!$A$3:$A$7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H6:H25" type="list">
      <formula1>Vocabularies!$B$3:$B$7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I6:I25" type="list">
      <formula1>Vocabularies!$C$3:$C$6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J6:J25" type="list">
      <formula1>Vocabularies!$D$3:$D$7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5.75" hidden="false" customHeight="true" outlineLevel="0" collapsed="false">
      <c r="A1" s="13" t="s">
        <v>132</v>
      </c>
    </row>
    <row r="2" customFormat="false" ht="15" hidden="false" customHeight="false" outlineLevel="0" collapsed="false">
      <c r="A2" s="8" t="s">
        <v>133</v>
      </c>
    </row>
    <row r="4" customFormat="false" ht="15" hidden="false" customHeight="false" outlineLevel="0" collapsed="false">
      <c r="A4" s="14" t="s">
        <v>25</v>
      </c>
      <c r="B4" s="14" t="s">
        <v>134</v>
      </c>
    </row>
    <row r="5" customFormat="false" ht="15" hidden="false" customHeight="false" outlineLevel="0" collapsed="false">
      <c r="A5" s="11" t="n">
        <v>2021</v>
      </c>
      <c r="B5" s="11" t="n">
        <f aca="false">COUNTIF(Data!E$6:E$25,A5)</f>
        <v>0</v>
      </c>
    </row>
    <row r="6" customFormat="false" ht="15" hidden="false" customHeight="false" outlineLevel="0" collapsed="false">
      <c r="A6" s="11" t="n">
        <v>2022</v>
      </c>
      <c r="B6" s="11" t="n">
        <f aca="false">COUNTIF(Data!E$6:E$25,A6)</f>
        <v>0</v>
      </c>
    </row>
    <row r="7" customFormat="false" ht="15" hidden="false" customHeight="false" outlineLevel="0" collapsed="false">
      <c r="A7" s="11" t="n">
        <v>2023</v>
      </c>
      <c r="B7" s="11" t="n">
        <f aca="false">COUNTIF(Data!E$6:E$25,A7)</f>
        <v>0</v>
      </c>
    </row>
    <row r="8" customFormat="false" ht="15" hidden="false" customHeight="false" outlineLevel="0" collapsed="false">
      <c r="A8" s="11" t="n">
        <v>2024</v>
      </c>
      <c r="B8" s="11" t="n">
        <f aca="false">COUNTIF(Data!E$6:E$25,A8)</f>
        <v>5</v>
      </c>
    </row>
    <row r="9" customFormat="false" ht="15" hidden="false" customHeight="false" outlineLevel="0" collapsed="false">
      <c r="A9" s="11" t="n">
        <v>2025</v>
      </c>
      <c r="B9" s="11" t="n">
        <f aca="false">COUNTIF(Data!E$6:E$25,A9)</f>
        <v>3</v>
      </c>
    </row>
    <row r="10" customFormat="false" ht="15" hidden="false" customHeight="false" outlineLevel="0" collapsed="false">
      <c r="A10" s="11" t="n">
        <v>2026</v>
      </c>
      <c r="B10" s="11" t="n">
        <f aca="false">COUNTIF(Data!E$6:E$25,A10)</f>
        <v>2</v>
      </c>
    </row>
    <row r="12" customFormat="false" ht="15" hidden="false" customHeight="false" outlineLevel="0" collapsed="false">
      <c r="A12" s="14" t="s">
        <v>29</v>
      </c>
      <c r="B12" s="14" t="s">
        <v>134</v>
      </c>
    </row>
    <row r="13" customFormat="false" ht="15" hidden="false" customHeight="false" outlineLevel="0" collapsed="false">
      <c r="A13" s="11" t="s">
        <v>43</v>
      </c>
      <c r="B13" s="11" t="n">
        <f aca="false">COUNTIF(Data!I$6:I$25,A13)</f>
        <v>6</v>
      </c>
    </row>
    <row r="14" customFormat="false" ht="15" hidden="false" customHeight="false" outlineLevel="0" collapsed="false">
      <c r="A14" s="11" t="s">
        <v>53</v>
      </c>
      <c r="B14" s="11" t="n">
        <f aca="false">COUNTIF(Data!I$6:I$25,A14)</f>
        <v>3</v>
      </c>
    </row>
    <row r="15" customFormat="false" ht="15" hidden="false" customHeight="false" outlineLevel="0" collapsed="false">
      <c r="A15" s="11" t="s">
        <v>79</v>
      </c>
      <c r="B15" s="11" t="n">
        <f aca="false">COUNTIF(Data!I$6:I$25,A15)</f>
        <v>1</v>
      </c>
    </row>
    <row r="16" customFormat="false" ht="15" hidden="false" customHeight="false" outlineLevel="0" collapsed="false">
      <c r="A16" s="11" t="s">
        <v>135</v>
      </c>
      <c r="B16" s="11" t="n">
        <f aca="false">COUNTIF(Data!I$6:I$25,A16)</f>
        <v>0</v>
      </c>
    </row>
    <row r="18" customFormat="false" ht="15" hidden="false" customHeight="false" outlineLevel="0" collapsed="false">
      <c r="A18" s="14" t="s">
        <v>28</v>
      </c>
      <c r="B18" s="14" t="s">
        <v>134</v>
      </c>
    </row>
    <row r="19" customFormat="false" ht="15" hidden="false" customHeight="false" outlineLevel="0" collapsed="false">
      <c r="A19" s="11" t="s">
        <v>42</v>
      </c>
      <c r="B19" s="11" t="n">
        <f aca="false">COUNTIF(Data!H$6:H$25,A19)</f>
        <v>10</v>
      </c>
    </row>
    <row r="20" customFormat="false" ht="15" hidden="false" customHeight="false" outlineLevel="0" collapsed="false">
      <c r="A20" s="11" t="s">
        <v>136</v>
      </c>
      <c r="B20" s="11" t="n">
        <f aca="false">COUNTIF(Data!H$6:H$25,A20)</f>
        <v>0</v>
      </c>
    </row>
    <row r="21" customFormat="false" ht="15" hidden="false" customHeight="false" outlineLevel="0" collapsed="false">
      <c r="A21" s="11" t="s">
        <v>54</v>
      </c>
      <c r="B21" s="11" t="n">
        <f aca="false">COUNTIF(Data!H$6:H$25,A21)</f>
        <v>0</v>
      </c>
    </row>
    <row r="22" customFormat="false" ht="15" hidden="false" customHeight="false" outlineLevel="0" collapsed="false">
      <c r="A22" s="11" t="s">
        <v>137</v>
      </c>
      <c r="B22" s="11" t="n">
        <f aca="false">COUNTIF(Data!H$6:H$25,A22)</f>
        <v>0</v>
      </c>
    </row>
    <row r="23" customFormat="false" ht="15" hidden="false" customHeight="false" outlineLevel="0" collapsed="false">
      <c r="A23" s="11" t="s">
        <v>135</v>
      </c>
      <c r="B23" s="11" t="n">
        <f aca="false">COUNTIF(Data!H$6:H$25,A23)</f>
        <v>0</v>
      </c>
    </row>
    <row r="25" customFormat="false" ht="15" hidden="false" customHeight="false" outlineLevel="0" collapsed="false">
      <c r="A25" s="14" t="s">
        <v>30</v>
      </c>
      <c r="B25" s="14" t="s">
        <v>134</v>
      </c>
    </row>
    <row r="26" customFormat="false" ht="15" hidden="false" customHeight="false" outlineLevel="0" collapsed="false">
      <c r="A26" s="11" t="s">
        <v>42</v>
      </c>
      <c r="B26" s="11" t="n">
        <f aca="false">COUNTIF(Data!J$6:J$25,A26)</f>
        <v>6</v>
      </c>
    </row>
    <row r="27" customFormat="false" ht="15" hidden="false" customHeight="false" outlineLevel="0" collapsed="false">
      <c r="A27" s="11" t="s">
        <v>136</v>
      </c>
      <c r="B27" s="11" t="n">
        <f aca="false">COUNTIF(Data!J$6:J$25,A27)</f>
        <v>0</v>
      </c>
    </row>
    <row r="28" customFormat="false" ht="15" hidden="false" customHeight="false" outlineLevel="0" collapsed="false">
      <c r="A28" s="11" t="s">
        <v>54</v>
      </c>
      <c r="B28" s="11" t="n">
        <f aca="false">COUNTIF(Data!J$6:J$25,A28)</f>
        <v>3</v>
      </c>
    </row>
    <row r="29" customFormat="false" ht="15" hidden="false" customHeight="false" outlineLevel="0" collapsed="false">
      <c r="A29" s="11" t="s">
        <v>137</v>
      </c>
      <c r="B29" s="11" t="n">
        <f aca="false">COUNTIF(Data!J$6:J$25,A29)</f>
        <v>0</v>
      </c>
    </row>
    <row r="30" customFormat="false" ht="15" hidden="false" customHeight="false" outlineLevel="0" collapsed="false">
      <c r="A30" s="11" t="s">
        <v>80</v>
      </c>
      <c r="B30" s="11" t="n">
        <f aca="false">COUNTIF(Data!J$6:J$25,A30)</f>
        <v>1</v>
      </c>
    </row>
    <row r="32" customFormat="false" ht="15" hidden="false" customHeight="false" outlineLevel="0" collapsed="false">
      <c r="A32" s="14" t="s">
        <v>27</v>
      </c>
      <c r="B32" s="14" t="s">
        <v>134</v>
      </c>
    </row>
    <row r="33" customFormat="false" ht="15" hidden="false" customHeight="false" outlineLevel="0" collapsed="false">
      <c r="A33" s="11" t="s">
        <v>138</v>
      </c>
      <c r="B33" s="11" t="n">
        <f aca="false">COUNTIF(Data!G$6:G$25,A33)</f>
        <v>0</v>
      </c>
    </row>
    <row r="34" customFormat="false" ht="15" hidden="false" customHeight="false" outlineLevel="0" collapsed="false">
      <c r="A34" s="11" t="s">
        <v>139</v>
      </c>
      <c r="B34" s="11" t="n">
        <f aca="false">COUNTIF(Data!G$6:G$25,A34)</f>
        <v>0</v>
      </c>
    </row>
    <row r="35" customFormat="false" ht="15" hidden="false" customHeight="false" outlineLevel="0" collapsed="false">
      <c r="A35" s="11" t="s">
        <v>41</v>
      </c>
      <c r="B35" s="11" t="n">
        <f aca="false">COUNTIF(Data!G$6:G$25,A35)</f>
        <v>10</v>
      </c>
    </row>
    <row r="36" customFormat="false" ht="15" hidden="false" customHeight="false" outlineLevel="0" collapsed="false">
      <c r="A36" s="11" t="s">
        <v>140</v>
      </c>
      <c r="B36" s="11" t="n">
        <f aca="false">COUNTIF(Data!G$6:G$25,A36)</f>
        <v>0</v>
      </c>
    </row>
    <row r="37" customFormat="false" ht="15" hidden="false" customHeight="false" outlineLevel="0" collapsed="false">
      <c r="A37" s="11" t="s">
        <v>135</v>
      </c>
      <c r="B37" s="11" t="n">
        <f aca="false">COUNTIF(Data!G$6:G$25,A37)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4" min="1" style="0" width="26"/>
  </cols>
  <sheetData>
    <row r="1" customFormat="false" ht="15.75" hidden="false" customHeight="true" outlineLevel="0" collapsed="false">
      <c r="A1" s="13" t="s">
        <v>141</v>
      </c>
    </row>
    <row r="2" customFormat="false" ht="15" hidden="false" customHeight="false" outlineLevel="0" collapsed="false">
      <c r="A2" s="14" t="s">
        <v>27</v>
      </c>
      <c r="B2" s="14" t="s">
        <v>28</v>
      </c>
      <c r="C2" s="14" t="s">
        <v>29</v>
      </c>
      <c r="D2" s="14" t="s">
        <v>30</v>
      </c>
    </row>
    <row r="3" customFormat="false" ht="15" hidden="false" customHeight="false" outlineLevel="0" collapsed="false">
      <c r="A3" s="11" t="s">
        <v>138</v>
      </c>
      <c r="B3" s="11" t="s">
        <v>42</v>
      </c>
      <c r="C3" s="11" t="s">
        <v>43</v>
      </c>
      <c r="D3" s="11" t="s">
        <v>42</v>
      </c>
    </row>
    <row r="4" customFormat="false" ht="15" hidden="false" customHeight="false" outlineLevel="0" collapsed="false">
      <c r="A4" s="11" t="s">
        <v>139</v>
      </c>
      <c r="B4" s="11" t="s">
        <v>136</v>
      </c>
      <c r="C4" s="11" t="s">
        <v>53</v>
      </c>
      <c r="D4" s="11" t="s">
        <v>136</v>
      </c>
    </row>
    <row r="5" customFormat="false" ht="15" hidden="false" customHeight="false" outlineLevel="0" collapsed="false">
      <c r="A5" s="11" t="s">
        <v>41</v>
      </c>
      <c r="B5" s="11" t="s">
        <v>54</v>
      </c>
      <c r="C5" s="11" t="s">
        <v>79</v>
      </c>
      <c r="D5" s="11" t="s">
        <v>54</v>
      </c>
    </row>
    <row r="6" customFormat="false" ht="15" hidden="false" customHeight="false" outlineLevel="0" collapsed="false">
      <c r="A6" s="11" t="s">
        <v>140</v>
      </c>
      <c r="B6" s="11" t="s">
        <v>137</v>
      </c>
      <c r="C6" s="11" t="s">
        <v>135</v>
      </c>
      <c r="D6" s="11" t="s">
        <v>137</v>
      </c>
    </row>
    <row r="7" customFormat="false" ht="15" hidden="false" customHeight="false" outlineLevel="0" collapsed="false">
      <c r="A7" s="11" t="s">
        <v>135</v>
      </c>
      <c r="B7" s="11" t="s">
        <v>135</v>
      </c>
      <c r="D7" s="1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2026-09-16T11:13:46Z</dcterms:created>
  <dc:creator>openpyxl</dc:creator>
  <dc:description/>
  <dc:language>en-US</dc:language>
  <cp:lastModifiedBy>Anshuman Sahoo</cp:lastModifiedBy>
  <dcterms:modified xsi:type="dcterms:W3CDTF">2026-10-27T08:11:17Z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